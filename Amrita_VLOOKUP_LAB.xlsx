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FD0F11D-C0A6-42BE-BC68-565E1B85E27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duct" sheetId="2" r:id="rId1"/>
    <sheet name="Order" sheetId="3" r:id="rId2"/>
  </sheets>
  <definedNames>
    <definedName name="Orders">Order!$A$1:$C$7</definedName>
    <definedName name="Product">Product!$A$1:$C$7</definedName>
    <definedName name="Products">Product!$A$1:$C$7</definedName>
    <definedName name="tABLE">#REF!</definedName>
  </definedNames>
  <calcPr calcId="191029"/>
</workbook>
</file>

<file path=xl/calcChain.xml><?xml version="1.0" encoding="utf-8"?>
<calcChain xmlns="http://schemas.openxmlformats.org/spreadsheetml/2006/main">
  <c r="E12" i="3" l="1"/>
  <c r="I9" i="3"/>
  <c r="H9" i="3"/>
  <c r="G9" i="3"/>
  <c r="F9" i="3"/>
  <c r="E9" i="3"/>
  <c r="D9" i="3"/>
  <c r="I8" i="3"/>
  <c r="H8" i="3"/>
  <c r="G8" i="3"/>
  <c r="F8" i="3"/>
  <c r="I7" i="3"/>
  <c r="H7" i="3"/>
  <c r="G7" i="3"/>
  <c r="F7" i="3"/>
  <c r="E7" i="3"/>
  <c r="D7" i="3"/>
  <c r="I6" i="3"/>
  <c r="H6" i="3"/>
  <c r="G6" i="3"/>
  <c r="F6" i="3"/>
  <c r="E6" i="3"/>
  <c r="D6" i="3"/>
  <c r="I5" i="3"/>
  <c r="H5" i="3"/>
  <c r="G5" i="3"/>
  <c r="F5" i="3"/>
  <c r="E5" i="3"/>
  <c r="D5" i="3"/>
  <c r="I4" i="3"/>
  <c r="H4" i="3"/>
  <c r="G4" i="3"/>
  <c r="F4" i="3"/>
  <c r="E4" i="3"/>
  <c r="D4" i="3"/>
  <c r="I3" i="3"/>
  <c r="H3" i="3"/>
  <c r="G3" i="3"/>
  <c r="F3" i="3"/>
  <c r="E3" i="3"/>
  <c r="D3" i="3"/>
  <c r="I2" i="3"/>
  <c r="H2" i="3"/>
  <c r="G2" i="3"/>
  <c r="F2" i="3"/>
  <c r="E2" i="3"/>
  <c r="D2" i="3"/>
  <c r="I9" i="2"/>
  <c r="H9" i="2"/>
  <c r="G9" i="2"/>
  <c r="F9" i="2"/>
  <c r="E9" i="2"/>
  <c r="D9" i="2"/>
  <c r="I8" i="2"/>
  <c r="H8" i="2"/>
  <c r="G8" i="2"/>
  <c r="F8" i="2"/>
  <c r="E8" i="2"/>
  <c r="D8" i="2"/>
  <c r="I7" i="2"/>
  <c r="H7" i="2"/>
  <c r="G7" i="2"/>
  <c r="F7" i="2"/>
  <c r="E7" i="2"/>
  <c r="D7" i="2"/>
  <c r="I6" i="2"/>
  <c r="H6" i="2"/>
  <c r="G6" i="2"/>
  <c r="F6" i="2"/>
  <c r="E6" i="2"/>
  <c r="D6" i="2"/>
  <c r="I5" i="2"/>
  <c r="H5" i="2"/>
  <c r="G5" i="2"/>
  <c r="F5" i="2"/>
  <c r="E5" i="2"/>
  <c r="D5" i="2"/>
  <c r="I4" i="2"/>
  <c r="H4" i="2"/>
  <c r="G4" i="2"/>
  <c r="F4" i="2"/>
  <c r="E4" i="2"/>
  <c r="D4" i="2"/>
  <c r="I3" i="2"/>
  <c r="H3" i="2"/>
  <c r="G3" i="2"/>
  <c r="F3" i="2"/>
  <c r="E3" i="2"/>
  <c r="D3" i="2"/>
  <c r="I2" i="2"/>
  <c r="H2" i="2"/>
  <c r="G2" i="2"/>
  <c r="F2" i="2"/>
  <c r="E2" i="2"/>
  <c r="D2" i="2"/>
</calcChain>
</file>

<file path=xl/sharedStrings.xml><?xml version="1.0" encoding="utf-8"?>
<sst xmlns="http://schemas.openxmlformats.org/spreadsheetml/2006/main" count="25" uniqueCount="23">
  <si>
    <t>ProductID</t>
  </si>
  <si>
    <t>Product</t>
  </si>
  <si>
    <t>Price</t>
  </si>
  <si>
    <t>Quantity</t>
  </si>
  <si>
    <t>Ordered/Not ordered</t>
  </si>
  <si>
    <t>Summary</t>
  </si>
  <si>
    <t>Summary Name</t>
  </si>
  <si>
    <t>Product A</t>
  </si>
  <si>
    <t>Product B</t>
  </si>
  <si>
    <t>Product C</t>
  </si>
  <si>
    <t>Product D</t>
  </si>
  <si>
    <t>Product E</t>
  </si>
  <si>
    <t>Product F</t>
  </si>
  <si>
    <t>Product H</t>
  </si>
  <si>
    <t>Product I</t>
  </si>
  <si>
    <t>OrderID</t>
  </si>
  <si>
    <t>ProductId</t>
  </si>
  <si>
    <t>Total Price</t>
  </si>
  <si>
    <t>Product Name</t>
  </si>
  <si>
    <t>Availability</t>
  </si>
  <si>
    <t>Discounted Price</t>
  </si>
  <si>
    <t>Product G</t>
  </si>
  <si>
    <t>Max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</si>
</sst>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99CC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3" xfId="0" applyFill="1" applyBorder="1">
      <alignment vertical="center"/>
    </xf>
    <xf numFmtId="0" fontId="0" fillId="4" borderId="4" xfId="0" applyFill="1" applyBorder="1">
      <alignment vertical="center"/>
    </xf>
    <xf numFmtId="0" fontId="0" fillId="4" borderId="5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2" xfId="0" applyFont="1" applyFill="1" applyBorder="1">
      <alignment vertical="center"/>
    </xf>
    <xf numFmtId="0" fontId="1" fillId="4" borderId="3" xfId="0" applyFont="1" applyFill="1" applyBorder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99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sqref="A1:I1"/>
    </sheetView>
  </sheetViews>
  <sheetFormatPr defaultColWidth="9.1796875" defaultRowHeight="14.5"/>
  <cols>
    <col min="2" max="2" width="10.1796875" customWidth="1"/>
    <col min="5" max="5" width="22" customWidth="1"/>
    <col min="9" max="9" width="16.26953125" customWidth="1"/>
  </cols>
  <sheetData>
    <row r="1" spans="1:9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/>
      <c r="G1" s="10"/>
      <c r="H1" s="8" t="s">
        <v>5</v>
      </c>
      <c r="I1" s="8" t="s">
        <v>6</v>
      </c>
    </row>
    <row r="2" spans="1:9">
      <c r="A2" s="7">
        <v>101</v>
      </c>
      <c r="B2" s="7" t="s">
        <v>7</v>
      </c>
      <c r="C2" s="7">
        <v>120</v>
      </c>
      <c r="D2" s="7">
        <f>IFERROR(VLOOKUP(A2,Order!$B$1:$G$7,2,0),0)</f>
        <v>2</v>
      </c>
      <c r="E2" s="7" t="str">
        <f>IF(ISNA(VLOOKUP(A2,Order!$B$2:$C$8,1,0)),"Not Ordered","Ordered")</f>
        <v>Ordered</v>
      </c>
      <c r="F2" s="3">
        <f>SUMIF(A2:A9,"=A2",D2:D9)</f>
        <v>0</v>
      </c>
      <c r="G2" s="4">
        <f>VLOOKUP(A2,Order!$B$1:$C$8,2,0)</f>
        <v>2</v>
      </c>
      <c r="H2" s="7">
        <f>SUMIF(Order!$B$2:$B$9,A2,Order!$C$2:$C$9)</f>
        <v>2</v>
      </c>
      <c r="I2" s="7">
        <f>SUMIF(Order!$E$2:$E$9,B2,Order!$C$2:$C$9)</f>
        <v>2</v>
      </c>
    </row>
    <row r="3" spans="1:9">
      <c r="A3" s="7">
        <v>102</v>
      </c>
      <c r="B3" s="7" t="s">
        <v>8</v>
      </c>
      <c r="C3" s="7">
        <v>150</v>
      </c>
      <c r="D3" s="7">
        <f>IFERROR(VLOOKUP(A3,Order!$B$1:$G$7,2,0),0)</f>
        <v>5</v>
      </c>
      <c r="E3" s="7" t="str">
        <f>IF(ISNA(VLOOKUP(A3,Order!$B$2:$C$8,1,0)),"Not Ordered","Ordered")</f>
        <v>Ordered</v>
      </c>
      <c r="F3" s="3">
        <f ca="1">SUMIF(A2:A10,"=A2",D3:D10)</f>
        <v>0</v>
      </c>
      <c r="G3" s="4">
        <f>VLOOKUP(A3,Order!$B$1:$C$8,2,0)</f>
        <v>5</v>
      </c>
      <c r="H3" s="7">
        <f>SUMIF(Order!$B$2:$B$9,A3,Order!$C$2:$C$9)</f>
        <v>10</v>
      </c>
      <c r="I3" s="7">
        <f>SUMIF(Order!$E$2:$E$9,B3,Order!$C$2:$C$9)</f>
        <v>10</v>
      </c>
    </row>
    <row r="4" spans="1:9">
      <c r="A4" s="7">
        <v>103</v>
      </c>
      <c r="B4" s="7" t="s">
        <v>9</v>
      </c>
      <c r="C4" s="7">
        <v>200</v>
      </c>
      <c r="D4" s="7">
        <f>IFERROR(VLOOKUP(A4,Order!$B$1:$G$7,2,0),0)</f>
        <v>1</v>
      </c>
      <c r="E4" s="7" t="str">
        <f>IF(ISNA(VLOOKUP(A4,Order!$B$2:$C$8,1,0)),"Not Ordered","Ordered")</f>
        <v>Ordered</v>
      </c>
      <c r="F4" s="3">
        <f t="shared" ref="F4:F9" si="0">SUMIF(A4:A11,"=A2",D4:D11)</f>
        <v>0</v>
      </c>
      <c r="G4" s="4">
        <f>VLOOKUP(A4,Order!$B$1:$C$8,2,0)</f>
        <v>1</v>
      </c>
      <c r="H4" s="7">
        <f>SUMIF(Order!$B$2:$B$9,A4,Order!$C$2:$C$9)</f>
        <v>1</v>
      </c>
      <c r="I4" s="7">
        <f>SUMIF(Order!$E$2:$E$9,B4,Order!$C$2:$C$9)</f>
        <v>1</v>
      </c>
    </row>
    <row r="5" spans="1:9">
      <c r="A5" s="7">
        <v>104</v>
      </c>
      <c r="B5" s="7" t="s">
        <v>10</v>
      </c>
      <c r="C5" s="7">
        <v>90</v>
      </c>
      <c r="D5" s="7">
        <f>IFERROR(VLOOKUP(A5,Order!$B$1:$G$7,2,0),0)</f>
        <v>6</v>
      </c>
      <c r="E5" s="7" t="str">
        <f>IF(ISNA(VLOOKUP(A5,Order!$B$2:$C$8,1,0)),"Not Ordered","Ordered")</f>
        <v>Ordered</v>
      </c>
      <c r="F5" s="3">
        <f t="shared" si="0"/>
        <v>0</v>
      </c>
      <c r="G5" s="4">
        <f>VLOOKUP(A5,Order!$B$1:$C$8,2,0)</f>
        <v>6</v>
      </c>
      <c r="H5" s="7">
        <f>SUMIF(Order!$B$2:$B$9,A5,Order!$C$2:$C$9)</f>
        <v>6</v>
      </c>
      <c r="I5" s="7">
        <f>SUMIF(Order!$E$2:$E$9,B5,Order!$C$2:$C$9)</f>
        <v>6</v>
      </c>
    </row>
    <row r="6" spans="1:9">
      <c r="A6" s="7">
        <v>105</v>
      </c>
      <c r="B6" s="7" t="s">
        <v>11</v>
      </c>
      <c r="C6" s="7">
        <v>220</v>
      </c>
      <c r="D6" s="7">
        <f>IFERROR(VLOOKUP(A6,Order!$B$1:$G$7,2,0),0)</f>
        <v>4</v>
      </c>
      <c r="E6" s="7" t="str">
        <f>IF(ISNA(VLOOKUP(A6,Order!$B$2:$C$8,1,0)),"Not Ordered","Ordered")</f>
        <v>Ordered</v>
      </c>
      <c r="F6" s="3">
        <f t="shared" si="0"/>
        <v>0</v>
      </c>
      <c r="G6" s="4">
        <f>VLOOKUP(A6,Order!$B$1:$C$8,2,0)</f>
        <v>4</v>
      </c>
      <c r="H6" s="7">
        <f>SUMIF(Order!$B$2:$B$9,A6,Order!$C$2:$C$9)</f>
        <v>4</v>
      </c>
      <c r="I6" s="7">
        <f>SUMIF(Order!$E$2:$E$9,B6,Order!$C$2:$C$9)</f>
        <v>4</v>
      </c>
    </row>
    <row r="7" spans="1:9">
      <c r="A7" s="7">
        <v>106</v>
      </c>
      <c r="B7" s="7" t="s">
        <v>12</v>
      </c>
      <c r="C7" s="7">
        <v>130</v>
      </c>
      <c r="D7" s="7">
        <f>IFERROR(VLOOKUP(A7,Order!$B$1:$G$7,2,0),0)</f>
        <v>3</v>
      </c>
      <c r="E7" s="7" t="str">
        <f>IF(ISNA(VLOOKUP(A7,Order!$B$2:$C$8,1,0)),"Not Ordered","Ordered")</f>
        <v>Ordered</v>
      </c>
      <c r="F7" s="3">
        <f t="shared" si="0"/>
        <v>0</v>
      </c>
      <c r="G7" s="4">
        <f>VLOOKUP(A7,Order!$B$1:$C$8,2,0)</f>
        <v>3</v>
      </c>
      <c r="H7" s="7">
        <f>SUMIF(Order!$B$2:$B$9,A7,Order!$C$2:$C$9)</f>
        <v>3</v>
      </c>
      <c r="I7" s="7">
        <f>SUMIF(Order!$E$2:$E$9,B7,Order!$C$2:$C$9)</f>
        <v>3</v>
      </c>
    </row>
    <row r="8" spans="1:9">
      <c r="A8" s="7">
        <v>108</v>
      </c>
      <c r="B8" s="7" t="s">
        <v>13</v>
      </c>
      <c r="C8" s="7">
        <v>180</v>
      </c>
      <c r="D8" s="7">
        <f>IFERROR(VLOOKUP(A8,Order!$B$1:$G$7,2,0),0)</f>
        <v>0</v>
      </c>
      <c r="E8" s="7" t="str">
        <f>IF(ISNA(VLOOKUP(A8,Order!$B$2:$C$8,1,0)),"Not Ordered","Ordered")</f>
        <v>Not Ordered</v>
      </c>
      <c r="F8" s="3">
        <f t="shared" si="0"/>
        <v>0</v>
      </c>
      <c r="G8" s="4" t="e">
        <f>VLOOKUP(A8,Order!$B$1:$C$8,2,0)</f>
        <v>#N/A</v>
      </c>
      <c r="H8" s="7">
        <f>SUMIF(Order!$B$2:$B$9,A8,Order!$C$2:$C$9)</f>
        <v>0</v>
      </c>
      <c r="I8" s="7">
        <f>SUMIF(Order!$E$2:$E$9,B8,Order!$C$2:$C$9)</f>
        <v>0</v>
      </c>
    </row>
    <row r="9" spans="1:9">
      <c r="A9" s="7">
        <v>109</v>
      </c>
      <c r="B9" s="7" t="s">
        <v>14</v>
      </c>
      <c r="C9" s="7">
        <v>130</v>
      </c>
      <c r="D9" s="7">
        <f>IFERROR(VLOOKUP(A9,Order!$B$1:$G$7,2,0),0)</f>
        <v>0</v>
      </c>
      <c r="E9" s="7" t="str">
        <f>IF(ISNA(VLOOKUP(A9,Order!$B$2:$C$8,1,0)),"Not ordered","Ordered")</f>
        <v>Not ordered</v>
      </c>
      <c r="F9" s="5">
        <f t="shared" si="0"/>
        <v>0</v>
      </c>
      <c r="G9" s="6" t="e">
        <f>VLOOKUP(A9,Order!$B$1:$C$8,2,0)</f>
        <v>#N/A</v>
      </c>
      <c r="H9" s="7">
        <f>SUMIF(Order!$B$2:$B$9,A9,Order!$C$2:$C$9)</f>
        <v>0</v>
      </c>
      <c r="I9" s="7">
        <f>SUMIF(Order!$E$2:$E$9,B9,Order!$C$2:$C$9)</f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"/>
  <sheetViews>
    <sheetView workbookViewId="0">
      <selection activeCell="E8" sqref="E8"/>
    </sheetView>
  </sheetViews>
  <sheetFormatPr defaultColWidth="9.1796875" defaultRowHeight="14.5"/>
  <cols>
    <col min="2" max="2" width="10.1796875" customWidth="1"/>
    <col min="4" max="4" width="11" customWidth="1"/>
    <col min="5" max="5" width="14.7265625" customWidth="1"/>
    <col min="6" max="6" width="14" customWidth="1"/>
    <col min="7" max="7" width="17.26953125" customWidth="1"/>
    <col min="8" max="9" width="10.54296875" customWidth="1"/>
  </cols>
  <sheetData>
    <row r="1" spans="1:9">
      <c r="A1" s="8" t="s">
        <v>15</v>
      </c>
      <c r="B1" s="8" t="s">
        <v>16</v>
      </c>
      <c r="C1" s="8" t="s">
        <v>3</v>
      </c>
      <c r="D1" s="8" t="s">
        <v>17</v>
      </c>
      <c r="E1" s="8" t="s">
        <v>18</v>
      </c>
      <c r="F1" s="8" t="s">
        <v>19</v>
      </c>
      <c r="G1" s="8" t="s">
        <v>20</v>
      </c>
      <c r="H1" s="8" t="s">
        <v>2</v>
      </c>
      <c r="I1" s="8"/>
    </row>
    <row r="2" spans="1:9">
      <c r="A2" s="7">
        <v>1</v>
      </c>
      <c r="B2" s="7">
        <v>101</v>
      </c>
      <c r="C2" s="7">
        <v>2</v>
      </c>
      <c r="D2" s="7">
        <f t="shared" ref="D2:D7" si="0">VLOOKUP(B2,Product,3,0)*C2</f>
        <v>240</v>
      </c>
      <c r="E2" s="7" t="str">
        <f t="shared" ref="E2:E7" si="1">VLOOKUP(B2,Product,2,0)</f>
        <v>Product A</v>
      </c>
      <c r="F2" s="7" t="str">
        <f t="shared" ref="F2:F9" si="2">IF(ISNA(VLOOKUP(B2,Products,1,0)),"Not Found","Found")</f>
        <v>Found</v>
      </c>
      <c r="G2" s="7">
        <f t="shared" ref="G2:G9" si="3">D2*0.9</f>
        <v>216</v>
      </c>
      <c r="H2" s="7">
        <f>VLOOKUP(B2,Product!$A$1:$C$7,3,0)</f>
        <v>120</v>
      </c>
      <c r="I2" s="7" t="str">
        <f>IF(ISNA(VLOOKUP(B2,Product!$A$1:$D$7,1,0)),"Not found","Found")</f>
        <v>Found</v>
      </c>
    </row>
    <row r="3" spans="1:9">
      <c r="A3" s="7">
        <v>2</v>
      </c>
      <c r="B3" s="7">
        <v>103</v>
      </c>
      <c r="C3" s="7">
        <v>1</v>
      </c>
      <c r="D3" s="7">
        <f t="shared" si="0"/>
        <v>200</v>
      </c>
      <c r="E3" s="7" t="str">
        <f t="shared" si="1"/>
        <v>Product C</v>
      </c>
      <c r="F3" s="7" t="str">
        <f t="shared" si="2"/>
        <v>Found</v>
      </c>
      <c r="G3" s="7">
        <f t="shared" si="3"/>
        <v>180</v>
      </c>
      <c r="H3" s="7">
        <f>VLOOKUP(B3,Product!$A$1:$C$7,3,0)</f>
        <v>200</v>
      </c>
      <c r="I3" s="7" t="str">
        <f>IF(ISNA(VLOOKUP(B3,Product!$A$1:$D$7,1,0)),"Not found","Found")</f>
        <v>Found</v>
      </c>
    </row>
    <row r="4" spans="1:9">
      <c r="A4" s="7">
        <v>3</v>
      </c>
      <c r="B4" s="7">
        <v>105</v>
      </c>
      <c r="C4" s="7">
        <v>4</v>
      </c>
      <c r="D4" s="7">
        <f t="shared" si="0"/>
        <v>880</v>
      </c>
      <c r="E4" s="7" t="str">
        <f t="shared" si="1"/>
        <v>Product E</v>
      </c>
      <c r="F4" s="7" t="str">
        <f t="shared" si="2"/>
        <v>Found</v>
      </c>
      <c r="G4" s="7">
        <f t="shared" si="3"/>
        <v>792</v>
      </c>
      <c r="H4" s="7">
        <f>VLOOKUP(B4,Product!$A$1:$C$7,3,0)</f>
        <v>220</v>
      </c>
      <c r="I4" s="7" t="str">
        <f>IF(ISNA(VLOOKUP(B4,Product!$A$1:$D$7,1,0)),"Not found","Found")</f>
        <v>Found</v>
      </c>
    </row>
    <row r="5" spans="1:9">
      <c r="A5" s="7">
        <v>4</v>
      </c>
      <c r="B5" s="7">
        <v>106</v>
      </c>
      <c r="C5" s="7">
        <v>3</v>
      </c>
      <c r="D5" s="7">
        <f t="shared" si="0"/>
        <v>390</v>
      </c>
      <c r="E5" s="7" t="str">
        <f t="shared" si="1"/>
        <v>Product F</v>
      </c>
      <c r="F5" s="7" t="str">
        <f t="shared" si="2"/>
        <v>Found</v>
      </c>
      <c r="G5" s="7">
        <f t="shared" si="3"/>
        <v>351</v>
      </c>
      <c r="H5" s="7">
        <f>VLOOKUP(B5,Product!$A$1:$C$7,3,0)</f>
        <v>130</v>
      </c>
      <c r="I5" s="7" t="str">
        <f>IF(ISNA(VLOOKUP(B5,Product!$A$1:$D$7,1,0)),"Not found","Found")</f>
        <v>Found</v>
      </c>
    </row>
    <row r="6" spans="1:9">
      <c r="A6" s="7">
        <v>5</v>
      </c>
      <c r="B6" s="7">
        <v>102</v>
      </c>
      <c r="C6" s="7">
        <v>5</v>
      </c>
      <c r="D6" s="7">
        <f t="shared" si="0"/>
        <v>750</v>
      </c>
      <c r="E6" s="7" t="str">
        <f t="shared" si="1"/>
        <v>Product B</v>
      </c>
      <c r="F6" s="7" t="str">
        <f t="shared" si="2"/>
        <v>Found</v>
      </c>
      <c r="G6" s="7">
        <f t="shared" si="3"/>
        <v>675</v>
      </c>
      <c r="H6" s="7">
        <f>VLOOKUP(B6,Product!$A$1:$C$7,3,0)</f>
        <v>150</v>
      </c>
      <c r="I6" s="7" t="str">
        <f>IF(ISNA(VLOOKUP(B6,Product!$A$1:$D$7,1,0)),"Not found","Found")</f>
        <v>Found</v>
      </c>
    </row>
    <row r="7" spans="1:9">
      <c r="A7" s="7">
        <v>6</v>
      </c>
      <c r="B7" s="7">
        <v>104</v>
      </c>
      <c r="C7" s="7">
        <v>6</v>
      </c>
      <c r="D7" s="7">
        <f t="shared" si="0"/>
        <v>540</v>
      </c>
      <c r="E7" s="7" t="str">
        <f t="shared" si="1"/>
        <v>Product D</v>
      </c>
      <c r="F7" s="7" t="str">
        <f t="shared" si="2"/>
        <v>Found</v>
      </c>
      <c r="G7" s="7">
        <f t="shared" si="3"/>
        <v>486</v>
      </c>
      <c r="H7" s="7">
        <f>VLOOKUP(B7,Product!$A$1:$C$7,3,0)</f>
        <v>90</v>
      </c>
      <c r="I7" s="7" t="str">
        <f>IF(ISNA(VLOOKUP(B7,Product!$A$1:$D$7,1,0)),"Not found","Found")</f>
        <v>Found</v>
      </c>
    </row>
    <row r="8" spans="1:9">
      <c r="A8" s="7">
        <v>7</v>
      </c>
      <c r="B8" s="7">
        <v>107</v>
      </c>
      <c r="C8" s="7">
        <v>7</v>
      </c>
      <c r="D8" s="7">
        <v>550</v>
      </c>
      <c r="E8" s="7" t="s">
        <v>21</v>
      </c>
      <c r="F8" s="7" t="str">
        <f t="shared" si="2"/>
        <v>Not Found</v>
      </c>
      <c r="G8" s="7">
        <f t="shared" si="3"/>
        <v>495</v>
      </c>
      <c r="H8" s="7" t="str">
        <f>IFERROR(VLOOKUP(B8,Product!$A$1:$C$7,3,0),"Not Listed")</f>
        <v>Not Listed</v>
      </c>
      <c r="I8" s="7" t="str">
        <f>IF(ISNA(VLOOKUP(B8,Product!$A$1:$D$7,1,0)),"Not found","Found")</f>
        <v>Not found</v>
      </c>
    </row>
    <row r="9" spans="1:9">
      <c r="A9" s="7">
        <v>8</v>
      </c>
      <c r="B9" s="7">
        <v>102</v>
      </c>
      <c r="C9" s="7">
        <v>5</v>
      </c>
      <c r="D9" s="7">
        <f>VLOOKUP(B9,Product,3,0)*C9</f>
        <v>750</v>
      </c>
      <c r="E9" s="7" t="str">
        <f>VLOOKUP(B9,Product,2,0)</f>
        <v>Product B</v>
      </c>
      <c r="F9" s="7" t="str">
        <f t="shared" si="2"/>
        <v>Found</v>
      </c>
      <c r="G9" s="7">
        <f t="shared" si="3"/>
        <v>675</v>
      </c>
      <c r="H9" s="7">
        <f>IFERROR(VLOOKUP(B9,Product!$A$1:$C$7,3,0),"Not Listed")</f>
        <v>150</v>
      </c>
      <c r="I9" s="7" t="str">
        <f>IF(ISNA(VLOOKUP(B9,Product!$A$1:$D$7,1,0)),"Not found","Found")</f>
        <v>Found</v>
      </c>
    </row>
    <row r="11" spans="1:9">
      <c r="E11" s="2" t="s">
        <v>22</v>
      </c>
    </row>
    <row r="12" spans="1:9">
      <c r="E12" s="1">
        <f>MAX(D2:D8)</f>
        <v>880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Product</vt:lpstr>
      <vt:lpstr>Order</vt:lpstr>
      <vt:lpstr>Orders</vt:lpstr>
      <vt:lpstr>Product</vt:lpstr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Amrita Ojha</cp:lastModifiedBy>
  <dcterms:created xsi:type="dcterms:W3CDTF">2026-01-08T09:17:00Z</dcterms:created>
  <dcterms:modified xsi:type="dcterms:W3CDTF">2026-01-15T10:19:16Z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5D6E8AA355034756B7C9A7C907CB2DDC_11</vt:lpwstr>
  </property>
  <property fmtid="{D5CDD505-2E9C-101B-9397-08002B2CF9AE}" pid="3" name="KSOProductBuildVer">
    <vt:lpwstr>1033-12.2.0.23196</vt:lpwstr>
  </property>
</Properties>
</file>
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20CF496-2B7D-4AB7-93B7-2E7DB9C25C15}" xr6:coauthVersionLast="47" xr6:coauthVersionMax="47" xr10:uidLastSave="{00000000-0000-0000-0000-000000000000}"/>
  <bookViews>
    <workbookView xWindow="-110" yWindow="-110" windowWidth="19420" windowHeight="10300" activeTab="1" xr2:uid="{32F18A0C-19BB-4F6C-8CD7-0283FB9C7589}"/>
  </bookViews>
  <sheets>
    <sheet name="Sheet1" sheetId="1" r:id="rId1"/>
    <sheet name="Sheet2" sheetId="2" r:id="rId2"/>
  </sheets>
  <definedNames>
    <definedName name="Data2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2" i="2" l="1"/>
  <c r="I70" i="2"/>
  <c r="I69" i="2"/>
  <c r="I68" i="2"/>
  <c r="I62" i="2"/>
  <c r="I61" i="2"/>
  <c r="I60" i="2"/>
  <c r="I59" i="2"/>
  <c r="I58" i="2"/>
  <c r="I57" i="2"/>
  <c r="I56" i="2"/>
  <c r="N52" i="2"/>
  <c r="K52" i="2"/>
  <c r="N50" i="2"/>
  <c r="I44" i="2"/>
  <c r="I45" i="2"/>
  <c r="I46" i="2"/>
  <c r="I47" i="2"/>
  <c r="I48" i="2"/>
  <c r="I43" i="2"/>
  <c r="K50" i="2"/>
  <c r="H43" i="2"/>
  <c r="G50" i="2"/>
  <c r="H44" i="2"/>
  <c r="H45" i="2"/>
  <c r="H46" i="2"/>
  <c r="H47" i="2"/>
  <c r="H48" i="2"/>
  <c r="G44" i="2"/>
  <c r="G45" i="2"/>
  <c r="G46" i="2"/>
  <c r="G47" i="2"/>
  <c r="G48" i="2"/>
  <c r="G43" i="2"/>
  <c r="E51" i="2"/>
  <c r="D51" i="2"/>
  <c r="D50" i="2"/>
  <c r="F48" i="2"/>
  <c r="F47" i="2"/>
  <c r="F46" i="2"/>
  <c r="F45" i="2"/>
  <c r="F44" i="2"/>
  <c r="F43" i="2"/>
  <c r="J35" i="2"/>
  <c r="J36" i="2"/>
  <c r="J37" i="2"/>
  <c r="J38" i="2"/>
  <c r="J39" i="2"/>
  <c r="J34" i="2"/>
  <c r="I35" i="2"/>
  <c r="I36" i="2"/>
  <c r="I37" i="2"/>
  <c r="I38" i="2"/>
  <c r="I39" i="2"/>
  <c r="I34" i="2"/>
  <c r="H35" i="2"/>
  <c r="H36" i="2"/>
  <c r="H37" i="2"/>
  <c r="H38" i="2"/>
  <c r="H39" i="2"/>
  <c r="H34" i="2"/>
  <c r="G35" i="2"/>
  <c r="G36" i="2"/>
  <c r="G37" i="2"/>
  <c r="G38" i="2"/>
  <c r="G39" i="2"/>
  <c r="G34" i="2"/>
  <c r="F39" i="2"/>
  <c r="F38" i="2"/>
  <c r="F37" i="2"/>
  <c r="F36" i="2"/>
  <c r="F35" i="2"/>
  <c r="F34" i="2"/>
  <c r="O27" i="2"/>
  <c r="O28" i="2"/>
  <c r="O29" i="2"/>
  <c r="O30" i="2"/>
  <c r="O31" i="2"/>
  <c r="O26" i="2"/>
  <c r="N27" i="2"/>
  <c r="N28" i="2"/>
  <c r="N29" i="2"/>
  <c r="N30" i="2"/>
  <c r="N31" i="2"/>
  <c r="N26" i="2"/>
  <c r="M27" i="2"/>
  <c r="M28" i="2"/>
  <c r="M29" i="2"/>
  <c r="M30" i="2"/>
  <c r="M31" i="2"/>
  <c r="M26" i="2"/>
  <c r="D27" i="2"/>
  <c r="E26" i="2"/>
  <c r="D26" i="2"/>
  <c r="K18" i="2"/>
  <c r="L18" i="2"/>
  <c r="M18" i="2"/>
  <c r="K19" i="2"/>
  <c r="L19" i="2"/>
  <c r="M19" i="2"/>
  <c r="K20" i="2"/>
  <c r="L20" i="2"/>
  <c r="M20" i="2"/>
  <c r="K21" i="2"/>
  <c r="L21" i="2"/>
  <c r="M21" i="2"/>
  <c r="L17" i="2"/>
  <c r="M17" i="2"/>
  <c r="K17" i="2"/>
  <c r="F19" i="2"/>
  <c r="F20" i="2"/>
  <c r="F21" i="2"/>
  <c r="F18" i="2"/>
  <c r="F17" i="2"/>
  <c r="E18" i="2"/>
  <c r="E19" i="2"/>
  <c r="E20" i="2"/>
  <c r="E21" i="2"/>
  <c r="E17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J8" i="2"/>
  <c r="K8" i="2"/>
  <c r="L8" i="2"/>
  <c r="I8" i="2"/>
  <c r="F9" i="2"/>
  <c r="F10" i="2"/>
  <c r="F11" i="2"/>
  <c r="F12" i="2"/>
  <c r="F8" i="2"/>
  <c r="E10" i="2"/>
  <c r="E11" i="2"/>
  <c r="E12" i="2"/>
  <c r="E9" i="2"/>
  <c r="E8" i="2"/>
  <c r="E4" i="1" a="1"/>
  <c r="E4" i="1" s="1"/>
  <c r="G5" i="1"/>
  <c r="F5" i="1"/>
  <c r="E5" i="1"/>
  <c r="G4" i="1"/>
  <c r="F4" i="1"/>
  <c r="E50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<sst xmlns="http://schemas.openxmlformats.org/spreadsheetml/2006/main" count="213" uniqueCount="134">
  <si>
    <t>ab</t>
  </si>
  <si>
    <t>cd</t>
  </si>
  <si>
    <t>ef</t>
  </si>
  <si>
    <t>gh</t>
  </si>
  <si>
    <t>ij</t>
  </si>
  <si>
    <t>kl</t>
  </si>
  <si>
    <t>abbcddeffghhijjkllmnn</t>
  </si>
  <si>
    <t>Student Name</t>
  </si>
  <si>
    <t>Sub 1</t>
  </si>
  <si>
    <t>Sub 2</t>
  </si>
  <si>
    <t>Sub 3</t>
  </si>
  <si>
    <t>Total</t>
  </si>
  <si>
    <t>Aman</t>
  </si>
  <si>
    <t>Rohit</t>
  </si>
  <si>
    <t>Akash</t>
  </si>
  <si>
    <t>Nikita</t>
  </si>
  <si>
    <t>Diya</t>
  </si>
  <si>
    <t>Percentage</t>
  </si>
  <si>
    <t>Total Marks</t>
  </si>
  <si>
    <t>2) Multiplication</t>
  </si>
  <si>
    <t>Mixed Cell Ref</t>
  </si>
  <si>
    <t>1) Total, Percentage</t>
  </si>
  <si>
    <t xml:space="preserve">Absolute and </t>
  </si>
  <si>
    <t>Relative Cell Ref</t>
  </si>
  <si>
    <t>3) Discounted amount</t>
  </si>
  <si>
    <t>Product</t>
  </si>
  <si>
    <t>Unit Price</t>
  </si>
  <si>
    <t>Quantity</t>
  </si>
  <si>
    <t>Total Price</t>
  </si>
  <si>
    <t>Discounted Amount</t>
  </si>
  <si>
    <t>Laptop</t>
  </si>
  <si>
    <t>Mobile</t>
  </si>
  <si>
    <t>Monitor</t>
  </si>
  <si>
    <t>Tablet</t>
  </si>
  <si>
    <t>Printer</t>
  </si>
  <si>
    <t>Discount</t>
  </si>
  <si>
    <t>4)Sale Amount (Mixed Reference)</t>
  </si>
  <si>
    <t>Jan</t>
  </si>
  <si>
    <t>Feb</t>
  </si>
  <si>
    <t>Mar</t>
  </si>
  <si>
    <t>5) Pasting, fill colours</t>
  </si>
  <si>
    <t>6) Custom List Add</t>
  </si>
  <si>
    <t>Cat</t>
  </si>
  <si>
    <t>Dog</t>
  </si>
  <si>
    <t>Cow</t>
  </si>
  <si>
    <t>Bird</t>
  </si>
  <si>
    <t>Rat</t>
  </si>
  <si>
    <t>Mad</t>
  </si>
  <si>
    <t>7) Operators</t>
  </si>
  <si>
    <t>Equal</t>
  </si>
  <si>
    <t>Not equal</t>
  </si>
  <si>
    <t>Greater less</t>
  </si>
  <si>
    <t>8) FORMULAS</t>
  </si>
  <si>
    <t>IF, NESTED IF, IFS</t>
  </si>
  <si>
    <t>Name</t>
  </si>
  <si>
    <t>Sub1</t>
  </si>
  <si>
    <t>Sub2</t>
  </si>
  <si>
    <t>Sub3</t>
  </si>
  <si>
    <t>Amar</t>
  </si>
  <si>
    <t>Samar</t>
  </si>
  <si>
    <t>Rohan</t>
  </si>
  <si>
    <t>Sonia</t>
  </si>
  <si>
    <t>Sanjana</t>
  </si>
  <si>
    <t>GRADE</t>
  </si>
  <si>
    <t xml:space="preserve">IF: </t>
  </si>
  <si>
    <t>Nested GRADE</t>
  </si>
  <si>
    <t>IFS Grade</t>
  </si>
  <si>
    <t>Nested AND</t>
  </si>
  <si>
    <t>8) Nested IF + 9) IFS+</t>
  </si>
  <si>
    <t xml:space="preserve">11) COUNT </t>
  </si>
  <si>
    <t>Function, COUNT IFS</t>
  </si>
  <si>
    <t>Sum 1</t>
  </si>
  <si>
    <t>Sum 2</t>
  </si>
  <si>
    <t>Count black, Count A,</t>
  </si>
  <si>
    <t>Manager</t>
  </si>
  <si>
    <t>S1</t>
  </si>
  <si>
    <t>Amrita</t>
  </si>
  <si>
    <t>Bipul</t>
  </si>
  <si>
    <t>Surojit</t>
  </si>
  <si>
    <t>Proma</t>
  </si>
  <si>
    <t>A</t>
  </si>
  <si>
    <t>B</t>
  </si>
  <si>
    <t>C</t>
  </si>
  <si>
    <t>SUMIFS</t>
  </si>
  <si>
    <t>COUNT</t>
  </si>
  <si>
    <t>Average</t>
  </si>
  <si>
    <t>Average IF</t>
  </si>
  <si>
    <t>Average IFS</t>
  </si>
  <si>
    <t>AVG IFS</t>
  </si>
  <si>
    <t>Order ID</t>
  </si>
  <si>
    <t>SUMIF, SUMIFS, AVG,</t>
  </si>
  <si>
    <t>AVG IF, AVG IFS</t>
  </si>
  <si>
    <t>Region</t>
  </si>
  <si>
    <t>Category</t>
  </si>
  <si>
    <t>Sales</t>
  </si>
  <si>
    <t>Month</t>
  </si>
  <si>
    <t>12) CW Assignment</t>
  </si>
  <si>
    <t>East</t>
  </si>
  <si>
    <t>West</t>
  </si>
  <si>
    <t>South</t>
  </si>
  <si>
    <t>North</t>
  </si>
  <si>
    <t xml:space="preserve">West </t>
  </si>
  <si>
    <t>Electronics</t>
  </si>
  <si>
    <t>Furniture</t>
  </si>
  <si>
    <t>Clothing</t>
  </si>
  <si>
    <t>April</t>
  </si>
  <si>
    <t>May</t>
  </si>
  <si>
    <t>13) VLOOKUP</t>
  </si>
  <si>
    <t>EmpID</t>
  </si>
  <si>
    <t>Department</t>
  </si>
  <si>
    <t>Location</t>
  </si>
  <si>
    <t>Salary</t>
  </si>
  <si>
    <t>Rating</t>
  </si>
  <si>
    <t>Rahul</t>
  </si>
  <si>
    <t>Anita</t>
  </si>
  <si>
    <t>Suresh</t>
  </si>
  <si>
    <t>Neha</t>
  </si>
  <si>
    <t>Pooja</t>
  </si>
  <si>
    <t>IT</t>
  </si>
  <si>
    <t>HR</t>
  </si>
  <si>
    <t>Finance</t>
  </si>
  <si>
    <t>Delhi</t>
  </si>
  <si>
    <t>Mumbai</t>
  </si>
  <si>
    <t>Chennai</t>
  </si>
  <si>
    <t>Pune</t>
  </si>
  <si>
    <t>i)</t>
  </si>
  <si>
    <t xml:space="preserve">i) </t>
  </si>
  <si>
    <t>ii)</t>
  </si>
  <si>
    <t>iii)</t>
  </si>
  <si>
    <t>iv)</t>
  </si>
  <si>
    <t>v)</t>
  </si>
  <si>
    <t>vi)</t>
  </si>
  <si>
    <t>vii)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</si>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</sst>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\.m\.yy;@"/>
    <numFmt numFmtId="165" formatCode="[$-14009]dd\ mmmm\ yyyy;@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9" fontId="0" fillId="0" borderId="0" xfId="0" applyNumberFormat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0" fillId="0" borderId="3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2" fontId="0" fillId="2" borderId="1" xfId="0" applyNumberFormat="1" applyFill="1" applyBorder="1"/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A045-F692-4C18-B414-FDF6B246D0B3}">
  <dimension ref="A1:M14"/>
  <sheetViews>
    <sheetView workbookViewId="0">
      <selection activeCell="O7" sqref="O7"/>
    </sheetView>
  </sheetViews>
  <sheetFormatPr defaultRowHeight="14.5" x14ac:dyDescent="0.35"/>
  <cols>
    <col min="9" max="9" width="10.81640625" customWidth="1"/>
    <col min="11" max="11" width="14.26953125" bestFit="1" customWidth="1"/>
    <col min="13" max="13" width="11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</row>
    <row r="2" spans="1:13" x14ac:dyDescent="0.35">
      <c r="A2" s="1" t="s">
        <v>5</v>
      </c>
      <c r="B2" s="1" t="s">
        <v>4</v>
      </c>
      <c r="C2" s="1" t="s">
        <v>3</v>
      </c>
    </row>
    <row r="4" spans="1:13" ht="43.5" x14ac:dyDescent="0.35">
      <c r="E4" t="str" cm="1">
        <f t="array" ref="E4:G5">Data2</f>
        <v>ab</v>
      </c>
      <c r="F4" t="str">
        <v>cd</v>
      </c>
      <c r="G4" t="str">
        <v>ef</v>
      </c>
      <c r="I4" s="2" t="s">
        <v>6</v>
      </c>
    </row>
    <row r="5" spans="1:13" x14ac:dyDescent="0.35">
      <c r="E5" t="str">
        <v>kl</v>
      </c>
      <c r="F5" t="str">
        <v>ij</v>
      </c>
      <c r="G5" t="str">
        <v>gh</v>
      </c>
    </row>
    <row r="6" spans="1:13" x14ac:dyDescent="0.35">
      <c r="K6" s="3">
        <v>56.8</v>
      </c>
    </row>
    <row r="7" spans="1:13" x14ac:dyDescent="0.35">
      <c r="K7" s="3">
        <v>89</v>
      </c>
    </row>
    <row r="8" spans="1:13" x14ac:dyDescent="0.35">
      <c r="K8" s="3">
        <v>90</v>
      </c>
    </row>
    <row r="9" spans="1:13" x14ac:dyDescent="0.35">
      <c r="K9" s="3">
        <v>54</v>
      </c>
    </row>
    <row r="10" spans="1:13" x14ac:dyDescent="0.35">
      <c r="M10" s="6">
        <v>10</v>
      </c>
    </row>
    <row r="11" spans="1:13" x14ac:dyDescent="0.35">
      <c r="M11" s="6">
        <v>20</v>
      </c>
    </row>
    <row r="12" spans="1:13" x14ac:dyDescent="0.35">
      <c r="K12" s="5">
        <v>46028</v>
      </c>
      <c r="M12" s="6">
        <v>30</v>
      </c>
    </row>
    <row r="13" spans="1:13" x14ac:dyDescent="0.35">
      <c r="K13" s="5">
        <v>46030</v>
      </c>
      <c r="M13" s="6"/>
    </row>
    <row r="14" spans="1:13" x14ac:dyDescent="0.35">
      <c r="K14" s="4"/>
      <c r="M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D93F-C790-4E64-82FE-4A1D248FC0C3}">
  <dimension ref="A4:O74"/>
  <sheetViews>
    <sheetView tabSelected="1" zoomScaleNormal="100" workbookViewId="0">
      <selection activeCell="D65" sqref="D65"/>
    </sheetView>
  </sheetViews>
  <sheetFormatPr defaultRowHeight="14.5" x14ac:dyDescent="0.35"/>
  <cols>
    <col min="1" max="1" width="19.54296875" customWidth="1"/>
    <col min="3" max="3" width="11.81640625" customWidth="1"/>
    <col min="4" max="4" width="10.6328125" bestFit="1" customWidth="1"/>
    <col min="5" max="5" width="10.08984375" customWidth="1"/>
    <col min="6" max="6" width="10.54296875" customWidth="1"/>
    <col min="7" max="7" width="10" customWidth="1"/>
    <col min="8" max="8" width="15" customWidth="1"/>
    <col min="9" max="9" width="9.54296875" customWidth="1"/>
    <col min="10" max="10" width="10.453125" customWidth="1"/>
    <col min="13" max="13" width="9.54296875" customWidth="1"/>
    <col min="14" max="14" width="10.1796875" bestFit="1" customWidth="1"/>
  </cols>
  <sheetData>
    <row r="4" spans="1:13" x14ac:dyDescent="0.35">
      <c r="A4" s="12" t="s">
        <v>21</v>
      </c>
      <c r="D4" s="12" t="s">
        <v>18</v>
      </c>
      <c r="E4" s="12">
        <v>300</v>
      </c>
      <c r="H4" s="12" t="s">
        <v>19</v>
      </c>
    </row>
    <row r="5" spans="1:13" x14ac:dyDescent="0.35">
      <c r="H5" s="12" t="s">
        <v>20</v>
      </c>
    </row>
    <row r="7" spans="1:13" x14ac:dyDescent="0.35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17</v>
      </c>
      <c r="H7" s="8"/>
      <c r="I7" s="8">
        <v>10</v>
      </c>
      <c r="J7" s="8">
        <v>20</v>
      </c>
      <c r="K7" s="8">
        <v>30</v>
      </c>
      <c r="L7" s="8">
        <v>40</v>
      </c>
    </row>
    <row r="8" spans="1:13" x14ac:dyDescent="0.35">
      <c r="A8" s="10" t="s">
        <v>12</v>
      </c>
      <c r="B8" s="10">
        <v>56</v>
      </c>
      <c r="C8" s="10">
        <v>78</v>
      </c>
      <c r="D8" s="10">
        <v>76</v>
      </c>
      <c r="E8" s="10">
        <f>SUM(B8:D8)</f>
        <v>210</v>
      </c>
      <c r="F8" s="11">
        <f>E8/$E$4*100</f>
        <v>70</v>
      </c>
      <c r="H8" s="8">
        <v>2</v>
      </c>
      <c r="I8" s="10">
        <f>$H8*I$7</f>
        <v>20</v>
      </c>
      <c r="J8" s="10">
        <f t="shared" ref="J8:L13" si="0">$H8*J$7</f>
        <v>40</v>
      </c>
      <c r="K8" s="10">
        <f t="shared" si="0"/>
        <v>60</v>
      </c>
      <c r="L8" s="10">
        <f t="shared" si="0"/>
        <v>80</v>
      </c>
    </row>
    <row r="9" spans="1:13" x14ac:dyDescent="0.35">
      <c r="A9" s="10" t="s">
        <v>13</v>
      </c>
      <c r="B9" s="10">
        <v>75</v>
      </c>
      <c r="C9" s="10">
        <v>68</v>
      </c>
      <c r="D9" s="10">
        <v>90</v>
      </c>
      <c r="E9" s="10">
        <f>SUM(B9:D9)</f>
        <v>233</v>
      </c>
      <c r="F9" s="11">
        <f t="shared" ref="F9:F12" si="1">E9/$E$4*100</f>
        <v>77.666666666666657</v>
      </c>
      <c r="H9" s="8">
        <v>3</v>
      </c>
      <c r="I9" s="10">
        <f t="shared" ref="I9:I13" si="2">$H9*I$7</f>
        <v>30</v>
      </c>
      <c r="J9" s="10">
        <f t="shared" si="0"/>
        <v>60</v>
      </c>
      <c r="K9" s="10">
        <f t="shared" si="0"/>
        <v>90</v>
      </c>
      <c r="L9" s="10">
        <f t="shared" si="0"/>
        <v>120</v>
      </c>
    </row>
    <row r="10" spans="1:13" x14ac:dyDescent="0.35">
      <c r="A10" s="10" t="s">
        <v>14</v>
      </c>
      <c r="B10" s="10">
        <v>30</v>
      </c>
      <c r="C10" s="10">
        <v>80</v>
      </c>
      <c r="D10" s="10">
        <v>45</v>
      </c>
      <c r="E10" s="10">
        <f t="shared" ref="E10:E12" si="3">SUM(B10:D10)</f>
        <v>155</v>
      </c>
      <c r="F10" s="11">
        <f t="shared" si="1"/>
        <v>51.666666666666671</v>
      </c>
      <c r="H10" s="8">
        <v>4</v>
      </c>
      <c r="I10" s="10">
        <f t="shared" si="2"/>
        <v>40</v>
      </c>
      <c r="J10" s="10">
        <f t="shared" si="0"/>
        <v>80</v>
      </c>
      <c r="K10" s="10">
        <f t="shared" si="0"/>
        <v>120</v>
      </c>
      <c r="L10" s="10">
        <f t="shared" si="0"/>
        <v>160</v>
      </c>
    </row>
    <row r="11" spans="1:13" x14ac:dyDescent="0.35">
      <c r="A11" s="10" t="s">
        <v>15</v>
      </c>
      <c r="B11" s="10">
        <v>98</v>
      </c>
      <c r="C11" s="10">
        <v>75</v>
      </c>
      <c r="D11" s="10">
        <v>82</v>
      </c>
      <c r="E11" s="10">
        <f t="shared" si="3"/>
        <v>255</v>
      </c>
      <c r="F11" s="11">
        <f t="shared" si="1"/>
        <v>85</v>
      </c>
      <c r="H11" s="8">
        <v>5</v>
      </c>
      <c r="I11" s="10">
        <f t="shared" si="2"/>
        <v>50</v>
      </c>
      <c r="J11" s="10">
        <f t="shared" si="0"/>
        <v>100</v>
      </c>
      <c r="K11" s="10">
        <f t="shared" si="0"/>
        <v>150</v>
      </c>
      <c r="L11" s="10">
        <f t="shared" si="0"/>
        <v>200</v>
      </c>
    </row>
    <row r="12" spans="1:13" x14ac:dyDescent="0.35">
      <c r="A12" s="10" t="s">
        <v>16</v>
      </c>
      <c r="B12" s="10">
        <v>66</v>
      </c>
      <c r="C12" s="10">
        <v>88</v>
      </c>
      <c r="D12" s="10">
        <v>49</v>
      </c>
      <c r="E12" s="10">
        <f t="shared" si="3"/>
        <v>203</v>
      </c>
      <c r="F12" s="11">
        <f t="shared" si="1"/>
        <v>67.666666666666657</v>
      </c>
      <c r="H12" s="8">
        <v>6</v>
      </c>
      <c r="I12" s="10">
        <f t="shared" si="2"/>
        <v>60</v>
      </c>
      <c r="J12" s="10">
        <f t="shared" si="0"/>
        <v>120</v>
      </c>
      <c r="K12" s="10">
        <f t="shared" si="0"/>
        <v>180</v>
      </c>
      <c r="L12" s="10">
        <f t="shared" si="0"/>
        <v>240</v>
      </c>
    </row>
    <row r="13" spans="1:13" x14ac:dyDescent="0.35">
      <c r="H13" s="8">
        <v>7</v>
      </c>
      <c r="I13" s="10">
        <f t="shared" si="2"/>
        <v>70</v>
      </c>
      <c r="J13" s="10">
        <f t="shared" si="0"/>
        <v>140</v>
      </c>
      <c r="K13" s="10">
        <f t="shared" si="0"/>
        <v>210</v>
      </c>
      <c r="L13" s="10">
        <f t="shared" si="0"/>
        <v>280</v>
      </c>
    </row>
    <row r="15" spans="1:13" x14ac:dyDescent="0.35">
      <c r="K15" s="8" t="s">
        <v>37</v>
      </c>
      <c r="L15" s="8" t="s">
        <v>38</v>
      </c>
      <c r="M15" s="8" t="s">
        <v>39</v>
      </c>
    </row>
    <row r="16" spans="1:13" ht="26" customHeight="1" x14ac:dyDescent="0.35">
      <c r="A16" s="12" t="s">
        <v>24</v>
      </c>
      <c r="B16" s="13" t="s">
        <v>25</v>
      </c>
      <c r="C16" s="13" t="s">
        <v>26</v>
      </c>
      <c r="D16" s="13" t="s">
        <v>27</v>
      </c>
      <c r="E16" s="13" t="s">
        <v>28</v>
      </c>
      <c r="F16" s="14" t="s">
        <v>29</v>
      </c>
      <c r="H16" s="16" t="s">
        <v>36</v>
      </c>
      <c r="I16" s="13" t="s">
        <v>25</v>
      </c>
      <c r="J16" s="17" t="s">
        <v>26</v>
      </c>
      <c r="K16" s="8">
        <v>5</v>
      </c>
      <c r="L16" s="8">
        <v>10</v>
      </c>
      <c r="M16" s="8">
        <v>15</v>
      </c>
    </row>
    <row r="17" spans="1:15" x14ac:dyDescent="0.35">
      <c r="A17" s="12" t="s">
        <v>22</v>
      </c>
      <c r="B17" s="7" t="s">
        <v>30</v>
      </c>
      <c r="C17" s="7">
        <v>50000</v>
      </c>
      <c r="D17" s="7">
        <v>5</v>
      </c>
      <c r="E17" s="7">
        <f>C17*D17</f>
        <v>250000</v>
      </c>
      <c r="F17" s="7">
        <f>$E17-($E17*$E$23)</f>
        <v>237500</v>
      </c>
      <c r="I17" s="7" t="s">
        <v>30</v>
      </c>
      <c r="J17" s="18">
        <v>50000</v>
      </c>
      <c r="K17" s="7">
        <f>$J17*K$16</f>
        <v>250000</v>
      </c>
      <c r="L17" s="7">
        <f t="shared" ref="L17:M21" si="4">$J17*L$16</f>
        <v>500000</v>
      </c>
      <c r="M17" s="7">
        <f t="shared" si="4"/>
        <v>750000</v>
      </c>
    </row>
    <row r="18" spans="1:15" x14ac:dyDescent="0.35">
      <c r="A18" s="12" t="s">
        <v>23</v>
      </c>
      <c r="B18" s="7" t="s">
        <v>31</v>
      </c>
      <c r="C18" s="7">
        <v>20000</v>
      </c>
      <c r="D18" s="7">
        <v>12</v>
      </c>
      <c r="E18" s="7">
        <f t="shared" ref="E18:E21" si="5">C18*D18</f>
        <v>240000</v>
      </c>
      <c r="F18" s="7">
        <f>E18-(E18*$E$23)</f>
        <v>228000</v>
      </c>
      <c r="I18" s="7" t="s">
        <v>31</v>
      </c>
      <c r="J18" s="18">
        <v>20000</v>
      </c>
      <c r="K18" s="7">
        <f t="shared" ref="K18:K21" si="6">$J18*K$16</f>
        <v>100000</v>
      </c>
      <c r="L18" s="7">
        <f t="shared" si="4"/>
        <v>200000</v>
      </c>
      <c r="M18" s="7">
        <f t="shared" si="4"/>
        <v>300000</v>
      </c>
    </row>
    <row r="19" spans="1:15" x14ac:dyDescent="0.35">
      <c r="B19" s="7" t="s">
        <v>32</v>
      </c>
      <c r="C19" s="7">
        <v>12000</v>
      </c>
      <c r="D19" s="7">
        <v>8</v>
      </c>
      <c r="E19" s="7">
        <f t="shared" si="5"/>
        <v>96000</v>
      </c>
      <c r="F19" s="7">
        <f t="shared" ref="F19:F21" si="7">E19-(E19*$E$23)</f>
        <v>91200</v>
      </c>
      <c r="I19" s="7" t="s">
        <v>32</v>
      </c>
      <c r="J19" s="18">
        <v>12000</v>
      </c>
      <c r="K19" s="7">
        <f t="shared" si="6"/>
        <v>60000</v>
      </c>
      <c r="L19" s="7">
        <f t="shared" si="4"/>
        <v>120000</v>
      </c>
      <c r="M19" s="7">
        <f t="shared" si="4"/>
        <v>180000</v>
      </c>
    </row>
    <row r="20" spans="1:15" x14ac:dyDescent="0.35">
      <c r="B20" s="7" t="s">
        <v>33</v>
      </c>
      <c r="C20" s="7">
        <v>30000</v>
      </c>
      <c r="D20" s="7">
        <v>16</v>
      </c>
      <c r="E20" s="7">
        <f t="shared" si="5"/>
        <v>480000</v>
      </c>
      <c r="F20" s="7">
        <f t="shared" si="7"/>
        <v>456000</v>
      </c>
      <c r="I20" s="7" t="s">
        <v>33</v>
      </c>
      <c r="J20" s="18">
        <v>30000</v>
      </c>
      <c r="K20" s="7">
        <f t="shared" si="6"/>
        <v>150000</v>
      </c>
      <c r="L20" s="7">
        <f t="shared" si="4"/>
        <v>300000</v>
      </c>
      <c r="M20" s="7">
        <f t="shared" si="4"/>
        <v>450000</v>
      </c>
    </row>
    <row r="21" spans="1:15" x14ac:dyDescent="0.35">
      <c r="B21" s="7" t="s">
        <v>34</v>
      </c>
      <c r="C21" s="7">
        <v>8000</v>
      </c>
      <c r="D21" s="7">
        <v>18</v>
      </c>
      <c r="E21" s="7">
        <f t="shared" si="5"/>
        <v>144000</v>
      </c>
      <c r="F21" s="7">
        <f t="shared" si="7"/>
        <v>136800</v>
      </c>
      <c r="I21" s="7" t="s">
        <v>34</v>
      </c>
      <c r="J21" s="18">
        <v>8000</v>
      </c>
      <c r="K21" s="7">
        <f t="shared" si="6"/>
        <v>40000</v>
      </c>
      <c r="L21" s="7">
        <f t="shared" si="4"/>
        <v>80000</v>
      </c>
      <c r="M21" s="7">
        <f t="shared" si="4"/>
        <v>120000</v>
      </c>
    </row>
    <row r="23" spans="1:15" x14ac:dyDescent="0.35">
      <c r="D23" t="s">
        <v>35</v>
      </c>
      <c r="E23" s="15">
        <v>0.05</v>
      </c>
      <c r="K23" t="s">
        <v>18</v>
      </c>
      <c r="M23">
        <v>300</v>
      </c>
    </row>
    <row r="24" spans="1:15" x14ac:dyDescent="0.35">
      <c r="A24" s="12" t="s">
        <v>40</v>
      </c>
    </row>
    <row r="25" spans="1:15" x14ac:dyDescent="0.35">
      <c r="A25" s="12" t="s">
        <v>41</v>
      </c>
      <c r="B25" t="s">
        <v>42</v>
      </c>
      <c r="C25" s="12" t="s">
        <v>48</v>
      </c>
      <c r="D25">
        <v>23</v>
      </c>
      <c r="E25">
        <v>57</v>
      </c>
      <c r="H25" s="12" t="s">
        <v>52</v>
      </c>
      <c r="I25" s="13" t="s">
        <v>54</v>
      </c>
      <c r="J25" s="13" t="s">
        <v>55</v>
      </c>
      <c r="K25" s="13" t="s">
        <v>56</v>
      </c>
      <c r="L25" s="13" t="s">
        <v>57</v>
      </c>
      <c r="M25" s="13" t="s">
        <v>11</v>
      </c>
      <c r="N25" s="13" t="s">
        <v>17</v>
      </c>
      <c r="O25" s="13" t="s">
        <v>63</v>
      </c>
    </row>
    <row r="26" spans="1:15" x14ac:dyDescent="0.35">
      <c r="B26" t="s">
        <v>43</v>
      </c>
      <c r="C26" t="s">
        <v>49</v>
      </c>
      <c r="D26" t="b">
        <f>D25=E25</f>
        <v>0</v>
      </c>
      <c r="E26" t="b">
        <f>D25&lt;&gt;E25</f>
        <v>1</v>
      </c>
      <c r="H26" s="12" t="s">
        <v>53</v>
      </c>
      <c r="I26" s="7" t="s">
        <v>58</v>
      </c>
      <c r="J26" s="7">
        <v>80</v>
      </c>
      <c r="K26" s="7">
        <v>82</v>
      </c>
      <c r="L26" s="7">
        <v>88</v>
      </c>
      <c r="M26" s="7">
        <f>J26+K26+L26</f>
        <v>250</v>
      </c>
      <c r="N26" s="9">
        <f>$M26/$M$23*100</f>
        <v>83.333333333333343</v>
      </c>
      <c r="O26" s="7" t="str">
        <f>IF(N26&gt;85,"Excellent","Average")</f>
        <v>Average</v>
      </c>
    </row>
    <row r="27" spans="1:15" x14ac:dyDescent="0.35">
      <c r="B27" t="s">
        <v>44</v>
      </c>
      <c r="C27" t="s">
        <v>50</v>
      </c>
      <c r="D27" t="b">
        <f>D25&gt;E25</f>
        <v>0</v>
      </c>
      <c r="I27" s="7" t="s">
        <v>59</v>
      </c>
      <c r="J27" s="7">
        <v>75</v>
      </c>
      <c r="K27" s="7">
        <v>70</v>
      </c>
      <c r="L27" s="7">
        <v>69</v>
      </c>
      <c r="M27" s="7">
        <f t="shared" ref="M27:M31" si="8">J27+K27+L27</f>
        <v>214</v>
      </c>
      <c r="N27" s="9">
        <f t="shared" ref="N27:N31" si="9">$M27/$M$23*100</f>
        <v>71.333333333333343</v>
      </c>
      <c r="O27" s="7" t="str">
        <f t="shared" ref="O27:O31" si="10">IF(N27&gt;85,"Excellent","Average")</f>
        <v>Average</v>
      </c>
    </row>
    <row r="28" spans="1:15" x14ac:dyDescent="0.35">
      <c r="B28" t="s">
        <v>45</v>
      </c>
      <c r="C28" t="s">
        <v>51</v>
      </c>
      <c r="H28" s="12" t="s">
        <v>64</v>
      </c>
      <c r="I28" s="7" t="s">
        <v>13</v>
      </c>
      <c r="J28" s="7">
        <v>67</v>
      </c>
      <c r="K28" s="7">
        <v>59</v>
      </c>
      <c r="L28" s="7">
        <v>62</v>
      </c>
      <c r="M28" s="7">
        <f t="shared" si="8"/>
        <v>188</v>
      </c>
      <c r="N28" s="9">
        <f t="shared" si="9"/>
        <v>62.666666666666671</v>
      </c>
      <c r="O28" s="7" t="str">
        <f t="shared" si="10"/>
        <v>Average</v>
      </c>
    </row>
    <row r="29" spans="1:15" x14ac:dyDescent="0.35">
      <c r="B29" t="s">
        <v>46</v>
      </c>
      <c r="I29" s="7" t="s">
        <v>60</v>
      </c>
      <c r="J29" s="7">
        <v>32</v>
      </c>
      <c r="K29" s="7">
        <v>28</v>
      </c>
      <c r="L29" s="7">
        <v>40</v>
      </c>
      <c r="M29" s="7">
        <f t="shared" si="8"/>
        <v>100</v>
      </c>
      <c r="N29" s="9">
        <f t="shared" si="9"/>
        <v>33.333333333333329</v>
      </c>
      <c r="O29" s="7" t="str">
        <f t="shared" si="10"/>
        <v>Average</v>
      </c>
    </row>
    <row r="30" spans="1:15" x14ac:dyDescent="0.35">
      <c r="B30" t="s">
        <v>47</v>
      </c>
      <c r="I30" s="7" t="s">
        <v>61</v>
      </c>
      <c r="J30" s="7">
        <v>99</v>
      </c>
      <c r="K30" s="7">
        <v>92</v>
      </c>
      <c r="L30" s="7">
        <v>88</v>
      </c>
      <c r="M30" s="7">
        <f t="shared" si="8"/>
        <v>279</v>
      </c>
      <c r="N30" s="9">
        <f t="shared" si="9"/>
        <v>93</v>
      </c>
      <c r="O30" s="7" t="str">
        <f t="shared" si="10"/>
        <v>Excellent</v>
      </c>
    </row>
    <row r="31" spans="1:15" x14ac:dyDescent="0.35">
      <c r="B31" t="s">
        <v>42</v>
      </c>
      <c r="I31" s="7" t="s">
        <v>62</v>
      </c>
      <c r="J31" s="7">
        <v>45</v>
      </c>
      <c r="K31" s="7">
        <v>65</v>
      </c>
      <c r="L31" s="7">
        <v>95</v>
      </c>
      <c r="M31" s="7">
        <f t="shared" si="8"/>
        <v>205</v>
      </c>
      <c r="N31" s="9">
        <f t="shared" si="9"/>
        <v>68.333333333333329</v>
      </c>
      <c r="O31" s="7" t="str">
        <f t="shared" si="10"/>
        <v>Average</v>
      </c>
    </row>
    <row r="32" spans="1:15" x14ac:dyDescent="0.35">
      <c r="D32" t="s">
        <v>18</v>
      </c>
      <c r="F32">
        <v>300</v>
      </c>
    </row>
    <row r="33" spans="1:13" ht="28.5" customHeight="1" x14ac:dyDescent="0.35">
      <c r="B33" s="13" t="s">
        <v>54</v>
      </c>
      <c r="C33" s="13" t="s">
        <v>55</v>
      </c>
      <c r="D33" s="13" t="s">
        <v>56</v>
      </c>
      <c r="E33" s="13" t="s">
        <v>57</v>
      </c>
      <c r="F33" s="13" t="s">
        <v>11</v>
      </c>
      <c r="G33" s="13" t="s">
        <v>17</v>
      </c>
      <c r="H33" s="19" t="s">
        <v>65</v>
      </c>
      <c r="I33" s="22" t="s">
        <v>66</v>
      </c>
      <c r="J33" s="14" t="s">
        <v>67</v>
      </c>
    </row>
    <row r="34" spans="1:13" x14ac:dyDescent="0.35">
      <c r="A34" s="12" t="s">
        <v>68</v>
      </c>
      <c r="B34" s="7" t="s">
        <v>58</v>
      </c>
      <c r="C34" s="7">
        <v>80</v>
      </c>
      <c r="D34" s="7">
        <v>82</v>
      </c>
      <c r="E34" s="7">
        <v>88</v>
      </c>
      <c r="F34" s="7">
        <f>C34+D34+E34</f>
        <v>250</v>
      </c>
      <c r="G34" s="9">
        <f>$F34/$F$32*100</f>
        <v>83.333333333333343</v>
      </c>
      <c r="H34" s="20" t="str">
        <f>IF(G34&gt;=90,"A Grade",IF(G34&gt;=70,"B grade","C grade"))</f>
        <v>B grade</v>
      </c>
      <c r="I34" s="19" t="str">
        <f>_xlfn.IFS(G34&gt;=90,"A grade",G34&gt;=80,"B Grade",G34&gt;=70,"C Grade",G34&gt;=50,"D grade",G34&lt;50,"Fail")</f>
        <v>B Grade</v>
      </c>
      <c r="J34" s="13" t="str">
        <f>IF(G34&gt;=90,"A grade",IF(AND(G34&gt;=80,G34&lt;90),"B grade",IF(AND(G34&gt;=70,G34&lt;80),"C grade",IF(AND(G34&gt;=50,G34&lt;70),"D grade","Fail"))))</f>
        <v>B grade</v>
      </c>
    </row>
    <row r="35" spans="1:13" x14ac:dyDescent="0.35">
      <c r="A35" s="21">
        <v>10</v>
      </c>
      <c r="B35" s="7" t="s">
        <v>59</v>
      </c>
      <c r="C35" s="7">
        <v>75</v>
      </c>
      <c r="D35" s="7">
        <v>70</v>
      </c>
      <c r="E35" s="7">
        <v>69</v>
      </c>
      <c r="F35" s="7">
        <f t="shared" ref="F35:F39" si="11">C35+D35+E35</f>
        <v>214</v>
      </c>
      <c r="G35" s="9">
        <f t="shared" ref="G35:G39" si="12">$F35/$F$32*100</f>
        <v>71.333333333333343</v>
      </c>
      <c r="H35" s="20" t="str">
        <f t="shared" ref="H35:H39" si="13">IF(G35&gt;=90,"A Grade",IF(G35&gt;=70,"B grade","C grade"))</f>
        <v>B grade</v>
      </c>
      <c r="I35" s="19" t="str">
        <f>_xlfn.IFS(G35&gt;=90,"A grade",G35&gt;=80,"B Grade",G35&gt;=70,"C Grade",G35&gt;=50,"D grade",G35&lt;50,"Fail")</f>
        <v>C Grade</v>
      </c>
      <c r="J35" s="13" t="str">
        <f t="shared" ref="J35:J39" si="14">IF(G35&gt;=90,"A grade",IF(AND(G35&gt;=80,G35&lt;90),"B grade",IF(AND(G35&gt;=70,G35&lt;80),"C grade",IF(AND(G35&gt;=50,G35&lt;70),"D grade","Fail"))))</f>
        <v>C grade</v>
      </c>
    </row>
    <row r="36" spans="1:13" x14ac:dyDescent="0.35">
      <c r="B36" s="7" t="s">
        <v>13</v>
      </c>
      <c r="C36" s="7">
        <v>67</v>
      </c>
      <c r="D36" s="7">
        <v>59</v>
      </c>
      <c r="E36" s="7">
        <v>62</v>
      </c>
      <c r="F36" s="7">
        <f t="shared" si="11"/>
        <v>188</v>
      </c>
      <c r="G36" s="9">
        <f t="shared" si="12"/>
        <v>62.666666666666671</v>
      </c>
      <c r="H36" s="20" t="str">
        <f t="shared" si="13"/>
        <v>C grade</v>
      </c>
      <c r="I36" s="19" t="str">
        <f t="shared" ref="I36:I39" si="15">_xlfn.IFS(G36&gt;=90,"A grade",G36&gt;=80,"B Grade",G36&gt;=70,"C Grade",G36&gt;=50,"D grade",G36&lt;50,"Fail")</f>
        <v>D grade</v>
      </c>
      <c r="J36" s="13" t="str">
        <f t="shared" si="14"/>
        <v>D grade</v>
      </c>
    </row>
    <row r="37" spans="1:13" x14ac:dyDescent="0.35">
      <c r="B37" s="7" t="s">
        <v>60</v>
      </c>
      <c r="C37" s="7">
        <v>32</v>
      </c>
      <c r="D37" s="7">
        <v>28</v>
      </c>
      <c r="E37" s="7">
        <v>40</v>
      </c>
      <c r="F37" s="7">
        <f t="shared" si="11"/>
        <v>100</v>
      </c>
      <c r="G37" s="9">
        <f t="shared" si="12"/>
        <v>33.333333333333329</v>
      </c>
      <c r="H37" s="20" t="str">
        <f t="shared" si="13"/>
        <v>C grade</v>
      </c>
      <c r="I37" s="19" t="str">
        <f t="shared" si="15"/>
        <v>Fail</v>
      </c>
      <c r="J37" s="13" t="str">
        <f t="shared" si="14"/>
        <v>Fail</v>
      </c>
    </row>
    <row r="38" spans="1:13" x14ac:dyDescent="0.35">
      <c r="B38" s="7" t="s">
        <v>61</v>
      </c>
      <c r="C38" s="7">
        <v>99</v>
      </c>
      <c r="D38" s="7">
        <v>92</v>
      </c>
      <c r="E38" s="7">
        <v>88</v>
      </c>
      <c r="F38" s="7">
        <f t="shared" si="11"/>
        <v>279</v>
      </c>
      <c r="G38" s="9">
        <f t="shared" si="12"/>
        <v>93</v>
      </c>
      <c r="H38" s="20" t="str">
        <f t="shared" si="13"/>
        <v>A Grade</v>
      </c>
      <c r="I38" s="19" t="str">
        <f t="shared" si="15"/>
        <v>A grade</v>
      </c>
      <c r="J38" s="13" t="str">
        <f t="shared" si="14"/>
        <v>A grade</v>
      </c>
    </row>
    <row r="39" spans="1:13" x14ac:dyDescent="0.35">
      <c r="B39" s="7" t="s">
        <v>62</v>
      </c>
      <c r="C39" s="7">
        <v>45</v>
      </c>
      <c r="D39" s="7">
        <v>65</v>
      </c>
      <c r="E39" s="7">
        <v>95</v>
      </c>
      <c r="F39" s="7">
        <f t="shared" si="11"/>
        <v>205</v>
      </c>
      <c r="G39" s="9">
        <f t="shared" si="12"/>
        <v>68.333333333333329</v>
      </c>
      <c r="H39" s="20" t="str">
        <f t="shared" si="13"/>
        <v>C grade</v>
      </c>
      <c r="I39" s="19" t="str">
        <f t="shared" si="15"/>
        <v>D grade</v>
      </c>
      <c r="J39" s="13" t="str">
        <f t="shared" si="14"/>
        <v>D grade</v>
      </c>
    </row>
    <row r="42" spans="1:13" x14ac:dyDescent="0.35">
      <c r="A42" s="12" t="s">
        <v>69</v>
      </c>
      <c r="B42" s="23" t="s">
        <v>54</v>
      </c>
      <c r="C42" s="23" t="s">
        <v>55</v>
      </c>
      <c r="D42" s="23" t="s">
        <v>56</v>
      </c>
      <c r="E42" s="23" t="s">
        <v>57</v>
      </c>
      <c r="F42" s="23" t="s">
        <v>11</v>
      </c>
      <c r="G42" s="23" t="s">
        <v>71</v>
      </c>
      <c r="H42" s="23" t="s">
        <v>72</v>
      </c>
      <c r="I42" s="23" t="s">
        <v>85</v>
      </c>
      <c r="K42" s="23" t="s">
        <v>54</v>
      </c>
      <c r="L42" s="23" t="s">
        <v>74</v>
      </c>
      <c r="M42" s="23" t="s">
        <v>75</v>
      </c>
    </row>
    <row r="43" spans="1:13" x14ac:dyDescent="0.35">
      <c r="A43" s="12" t="s">
        <v>70</v>
      </c>
      <c r="B43" s="24" t="s">
        <v>58</v>
      </c>
      <c r="C43" s="24">
        <v>80</v>
      </c>
      <c r="D43" s="24">
        <v>82</v>
      </c>
      <c r="E43" s="24">
        <v>88</v>
      </c>
      <c r="F43" s="24">
        <f>C43+D43+E43</f>
        <v>250</v>
      </c>
      <c r="G43" s="24">
        <f>SUM(C43:E43)</f>
        <v>250</v>
      </c>
      <c r="H43" s="24">
        <f>SUMIF(C43:E43,"&gt;80")</f>
        <v>170</v>
      </c>
      <c r="I43" s="26">
        <f>AVERAGE(C43:E43)</f>
        <v>83.333333333333329</v>
      </c>
      <c r="K43" s="7" t="s">
        <v>76</v>
      </c>
      <c r="L43" s="7" t="s">
        <v>80</v>
      </c>
      <c r="M43" s="7">
        <v>100</v>
      </c>
    </row>
    <row r="44" spans="1:13" x14ac:dyDescent="0.35">
      <c r="A44" s="12" t="s">
        <v>73</v>
      </c>
      <c r="B44" s="24" t="s">
        <v>59</v>
      </c>
      <c r="C44" s="24">
        <v>75</v>
      </c>
      <c r="D44" s="24">
        <v>70</v>
      </c>
      <c r="E44" s="24">
        <v>69</v>
      </c>
      <c r="F44" s="24">
        <f t="shared" ref="F44:F48" si="16">C44+D44+E44</f>
        <v>214</v>
      </c>
      <c r="G44" s="24">
        <f t="shared" ref="G44:G48" si="17">SUM(C44:E44)</f>
        <v>214</v>
      </c>
      <c r="H44" s="24">
        <f t="shared" ref="H44:H48" si="18">SUMIF(C44:E44,"&gt;80")</f>
        <v>0</v>
      </c>
      <c r="I44" s="26">
        <f t="shared" ref="I44:I48" si="19">AVERAGE(C44:E44)</f>
        <v>71.333333333333329</v>
      </c>
      <c r="K44" s="7" t="s">
        <v>77</v>
      </c>
      <c r="L44" s="7" t="s">
        <v>81</v>
      </c>
      <c r="M44" s="7">
        <v>80</v>
      </c>
    </row>
    <row r="45" spans="1:13" x14ac:dyDescent="0.35">
      <c r="A45" s="12" t="s">
        <v>90</v>
      </c>
      <c r="B45" s="24" t="s">
        <v>13</v>
      </c>
      <c r="C45" s="24">
        <v>67</v>
      </c>
      <c r="D45" s="24">
        <v>59</v>
      </c>
      <c r="E45" s="24">
        <v>62</v>
      </c>
      <c r="F45" s="24">
        <f t="shared" si="16"/>
        <v>188</v>
      </c>
      <c r="G45" s="24">
        <f t="shared" si="17"/>
        <v>188</v>
      </c>
      <c r="H45" s="24">
        <f t="shared" si="18"/>
        <v>0</v>
      </c>
      <c r="I45" s="26">
        <f t="shared" si="19"/>
        <v>62.666666666666664</v>
      </c>
      <c r="K45" s="7" t="s">
        <v>76</v>
      </c>
      <c r="L45" s="7" t="s">
        <v>82</v>
      </c>
      <c r="M45" s="7">
        <v>75</v>
      </c>
    </row>
    <row r="46" spans="1:13" x14ac:dyDescent="0.35">
      <c r="A46" s="12" t="s">
        <v>91</v>
      </c>
      <c r="B46" s="24" t="s">
        <v>60</v>
      </c>
      <c r="C46" s="24">
        <v>32</v>
      </c>
      <c r="D46" s="24">
        <v>88</v>
      </c>
      <c r="E46" s="24">
        <v>40</v>
      </c>
      <c r="F46" s="24">
        <f t="shared" si="16"/>
        <v>160</v>
      </c>
      <c r="G46" s="24">
        <f t="shared" si="17"/>
        <v>160</v>
      </c>
      <c r="H46" s="24">
        <f t="shared" si="18"/>
        <v>88</v>
      </c>
      <c r="I46" s="26">
        <f t="shared" si="19"/>
        <v>53.333333333333336</v>
      </c>
      <c r="K46" s="7" t="s">
        <v>78</v>
      </c>
      <c r="L46" s="7" t="s">
        <v>81</v>
      </c>
      <c r="M46" s="7">
        <v>30</v>
      </c>
    </row>
    <row r="47" spans="1:13" x14ac:dyDescent="0.35">
      <c r="B47" s="24" t="s">
        <v>61</v>
      </c>
      <c r="C47" s="24">
        <v>99</v>
      </c>
      <c r="D47" s="24">
        <v>92</v>
      </c>
      <c r="E47" s="24">
        <v>88</v>
      </c>
      <c r="F47" s="24">
        <f t="shared" si="16"/>
        <v>279</v>
      </c>
      <c r="G47" s="24">
        <f t="shared" si="17"/>
        <v>279</v>
      </c>
      <c r="H47" s="24">
        <f t="shared" si="18"/>
        <v>279</v>
      </c>
      <c r="I47" s="26">
        <f t="shared" si="19"/>
        <v>93</v>
      </c>
      <c r="K47" s="7" t="s">
        <v>76</v>
      </c>
      <c r="L47" s="7" t="s">
        <v>82</v>
      </c>
      <c r="M47" s="7">
        <v>50</v>
      </c>
    </row>
    <row r="48" spans="1:13" x14ac:dyDescent="0.35">
      <c r="B48" s="24" t="s">
        <v>62</v>
      </c>
      <c r="C48" s="24">
        <v>45</v>
      </c>
      <c r="D48" s="24">
        <v>65</v>
      </c>
      <c r="E48" s="24">
        <v>95</v>
      </c>
      <c r="F48" s="24">
        <f t="shared" si="16"/>
        <v>205</v>
      </c>
      <c r="G48" s="24">
        <f t="shared" si="17"/>
        <v>205</v>
      </c>
      <c r="H48" s="24">
        <f t="shared" si="18"/>
        <v>95</v>
      </c>
      <c r="I48" s="26">
        <f t="shared" si="19"/>
        <v>68.333333333333329</v>
      </c>
      <c r="K48" s="7" t="s">
        <v>79</v>
      </c>
      <c r="L48" s="7" t="s">
        <v>80</v>
      </c>
      <c r="M48" s="7">
        <v>89</v>
      </c>
    </row>
    <row r="50" spans="1:14" x14ac:dyDescent="0.35">
      <c r="C50" t="s">
        <v>84</v>
      </c>
      <c r="D50">
        <f>COUNT(C43:C48)</f>
        <v>6</v>
      </c>
      <c r="E50">
        <f>COUNTBLANK(H42:H51)</f>
        <v>3</v>
      </c>
      <c r="F50" s="25" t="s">
        <v>83</v>
      </c>
      <c r="G50" s="25">
        <f>SUMIFS(F43:F48,B43:B48,"=Amar")</f>
        <v>250</v>
      </c>
      <c r="J50" s="25" t="s">
        <v>83</v>
      </c>
      <c r="K50" s="25">
        <f>SUMIFS(M43:M48,K43:K48,"=Amrita",L43:L48,"=C")</f>
        <v>125</v>
      </c>
      <c r="M50" s="25" t="s">
        <v>86</v>
      </c>
      <c r="N50" s="25">
        <f>AVERAGEIF(M43:M48,"&gt;50")</f>
        <v>86</v>
      </c>
    </row>
    <row r="51" spans="1:14" x14ac:dyDescent="0.35">
      <c r="D51">
        <f>COUNT(D43:D48)</f>
        <v>6</v>
      </c>
      <c r="E51">
        <f>COUNTIFS(D43:D48,"&gt;80",E43:E48,"&lt;60")</f>
        <v>1</v>
      </c>
    </row>
    <row r="52" spans="1:14" x14ac:dyDescent="0.35">
      <c r="F52" s="25"/>
      <c r="J52" s="25" t="s">
        <v>87</v>
      </c>
      <c r="K52" s="25">
        <f>AVERAGEIFS(M43:M48,K43:K48,"=Amrita")</f>
        <v>75</v>
      </c>
      <c r="M52" s="25" t="s">
        <v>88</v>
      </c>
      <c r="N52" s="25">
        <f>AVERAGEIFS(M43:M48,K43:K48,"=Amrita",L43:L48,"=C")</f>
        <v>62.5</v>
      </c>
    </row>
    <row r="55" spans="1:14" x14ac:dyDescent="0.35">
      <c r="A55" s="12" t="s">
        <v>96</v>
      </c>
      <c r="B55" s="28" t="s">
        <v>89</v>
      </c>
      <c r="C55" s="28" t="s">
        <v>92</v>
      </c>
      <c r="D55" s="28" t="s">
        <v>93</v>
      </c>
      <c r="E55" s="28" t="s">
        <v>94</v>
      </c>
      <c r="F55" s="28" t="s">
        <v>27</v>
      </c>
      <c r="G55" s="28" t="s">
        <v>95</v>
      </c>
    </row>
    <row r="56" spans="1:14" x14ac:dyDescent="0.35">
      <c r="B56" s="29">
        <v>101</v>
      </c>
      <c r="C56" s="29" t="s">
        <v>97</v>
      </c>
      <c r="D56" s="29" t="s">
        <v>102</v>
      </c>
      <c r="E56" s="29">
        <v>25000</v>
      </c>
      <c r="F56" s="29">
        <v>5</v>
      </c>
      <c r="G56" s="29" t="s">
        <v>37</v>
      </c>
      <c r="H56" s="31" t="s">
        <v>126</v>
      </c>
      <c r="I56" s="12">
        <f>SUM(E56:E65)</f>
        <v>226000</v>
      </c>
    </row>
    <row r="57" spans="1:14" x14ac:dyDescent="0.35">
      <c r="B57" s="29">
        <v>102</v>
      </c>
      <c r="C57" s="29" t="s">
        <v>98</v>
      </c>
      <c r="D57" s="29" t="s">
        <v>103</v>
      </c>
      <c r="E57" s="29">
        <v>18000</v>
      </c>
      <c r="F57" s="29">
        <v>3</v>
      </c>
      <c r="G57" s="29" t="s">
        <v>37</v>
      </c>
      <c r="H57" s="31" t="s">
        <v>127</v>
      </c>
      <c r="I57" s="12">
        <f>SUMIFS(E56:E65,C56:C65,"=East")</f>
        <v>94000</v>
      </c>
    </row>
    <row r="58" spans="1:14" x14ac:dyDescent="0.35">
      <c r="B58" s="29">
        <v>103</v>
      </c>
      <c r="C58" s="29" t="s">
        <v>97</v>
      </c>
      <c r="D58" s="29" t="s">
        <v>102</v>
      </c>
      <c r="E58" s="29">
        <v>30000</v>
      </c>
      <c r="F58" s="29">
        <v>6</v>
      </c>
      <c r="G58" s="29" t="s">
        <v>38</v>
      </c>
      <c r="H58" s="31" t="s">
        <v>128</v>
      </c>
      <c r="I58" s="12">
        <f>SUMIFS(E56:E65,D56:D65,"=Electronics")</f>
        <v>115000</v>
      </c>
    </row>
    <row r="59" spans="1:14" x14ac:dyDescent="0.35">
      <c r="B59" s="29">
        <v>104</v>
      </c>
      <c r="C59" s="29" t="s">
        <v>99</v>
      </c>
      <c r="D59" s="29" t="s">
        <v>104</v>
      </c>
      <c r="E59" s="29">
        <v>12000</v>
      </c>
      <c r="F59" s="29">
        <v>4</v>
      </c>
      <c r="G59" s="29" t="s">
        <v>38</v>
      </c>
      <c r="H59" s="32" t="s">
        <v>129</v>
      </c>
      <c r="I59" s="12">
        <f>SUMIFS(E56:E65,C56:C65,"=East",D56:D65,"=Electronics")</f>
        <v>55000</v>
      </c>
    </row>
    <row r="60" spans="1:14" x14ac:dyDescent="0.35">
      <c r="B60" s="29">
        <v>105</v>
      </c>
      <c r="C60" s="29" t="s">
        <v>100</v>
      </c>
      <c r="D60" s="29" t="s">
        <v>103</v>
      </c>
      <c r="E60" s="29">
        <v>22000</v>
      </c>
      <c r="F60" s="29">
        <v>5</v>
      </c>
      <c r="G60" s="29" t="s">
        <v>39</v>
      </c>
      <c r="H60" s="32" t="s">
        <v>130</v>
      </c>
      <c r="I60" s="12">
        <f>SUMIFS(E56:E65,G56:G65,"=Jan")</f>
        <v>43000</v>
      </c>
    </row>
    <row r="61" spans="1:14" x14ac:dyDescent="0.35">
      <c r="B61" s="29">
        <v>106</v>
      </c>
      <c r="C61" s="29" t="s">
        <v>97</v>
      </c>
      <c r="D61" s="29" t="s">
        <v>104</v>
      </c>
      <c r="E61" s="29">
        <v>15000</v>
      </c>
      <c r="F61" s="29">
        <v>3</v>
      </c>
      <c r="G61" s="29" t="s">
        <v>39</v>
      </c>
      <c r="H61" s="32" t="s">
        <v>131</v>
      </c>
      <c r="I61" s="12">
        <f>SUMIFS(F56:F65,D56:D65,"=Electronics")</f>
        <v>26</v>
      </c>
    </row>
    <row r="62" spans="1:14" x14ac:dyDescent="0.35">
      <c r="B62" s="29">
        <v>107</v>
      </c>
      <c r="C62" s="29" t="s">
        <v>101</v>
      </c>
      <c r="D62" s="29" t="s">
        <v>102</v>
      </c>
      <c r="E62" s="29">
        <v>28000</v>
      </c>
      <c r="F62" s="29">
        <v>7</v>
      </c>
      <c r="G62" s="29" t="s">
        <v>105</v>
      </c>
      <c r="H62" s="32" t="s">
        <v>132</v>
      </c>
      <c r="I62" s="12">
        <f>SUMIFS(F56:F65,D56:D65,"=Electronics",C56:C65,"=East")</f>
        <v>11</v>
      </c>
    </row>
    <row r="63" spans="1:14" x14ac:dyDescent="0.35">
      <c r="B63" s="29">
        <v>108</v>
      </c>
      <c r="C63" s="29" t="s">
        <v>99</v>
      </c>
      <c r="D63" s="29" t="s">
        <v>103</v>
      </c>
      <c r="E63" s="29">
        <v>20000</v>
      </c>
      <c r="F63" s="29">
        <v>4</v>
      </c>
      <c r="G63" s="29" t="s">
        <v>105</v>
      </c>
    </row>
    <row r="64" spans="1:14" x14ac:dyDescent="0.35">
      <c r="B64" s="29">
        <v>109</v>
      </c>
      <c r="C64" s="29" t="s">
        <v>100</v>
      </c>
      <c r="D64" s="29" t="s">
        <v>102</v>
      </c>
      <c r="E64" s="29">
        <v>32000</v>
      </c>
      <c r="F64" s="29">
        <v>8</v>
      </c>
      <c r="G64" s="29" t="s">
        <v>106</v>
      </c>
    </row>
    <row r="65" spans="1:9" x14ac:dyDescent="0.35">
      <c r="B65" s="29">
        <v>110</v>
      </c>
      <c r="C65" s="29" t="s">
        <v>97</v>
      </c>
      <c r="D65" s="29" t="s">
        <v>103</v>
      </c>
      <c r="E65" s="29">
        <v>24000</v>
      </c>
      <c r="F65" s="29">
        <v>6</v>
      </c>
      <c r="G65" s="29" t="s">
        <v>106</v>
      </c>
    </row>
    <row r="67" spans="1:9" x14ac:dyDescent="0.35">
      <c r="I67" s="12"/>
    </row>
    <row r="68" spans="1:9" x14ac:dyDescent="0.35">
      <c r="A68" s="12" t="s">
        <v>107</v>
      </c>
      <c r="B68" s="30" t="s">
        <v>108</v>
      </c>
      <c r="C68" s="30" t="s">
        <v>54</v>
      </c>
      <c r="D68" s="30" t="s">
        <v>109</v>
      </c>
      <c r="E68" s="30" t="s">
        <v>110</v>
      </c>
      <c r="F68" s="30" t="s">
        <v>111</v>
      </c>
      <c r="G68" s="30" t="s">
        <v>112</v>
      </c>
      <c r="H68" s="27" t="s">
        <v>125</v>
      </c>
      <c r="I68" s="36" t="str">
        <f>VLOOKUP(B73,B68:G74,3,0)</f>
        <v>HR</v>
      </c>
    </row>
    <row r="69" spans="1:9" x14ac:dyDescent="0.35">
      <c r="B69" s="30">
        <v>101</v>
      </c>
      <c r="C69" s="30" t="s">
        <v>113</v>
      </c>
      <c r="D69" s="30" t="s">
        <v>118</v>
      </c>
      <c r="E69" s="30" t="s">
        <v>121</v>
      </c>
      <c r="F69" s="30">
        <v>50000</v>
      </c>
      <c r="G69" s="30" t="s">
        <v>80</v>
      </c>
      <c r="H69" s="34" t="s">
        <v>127</v>
      </c>
      <c r="I69" s="36">
        <f>VLOOKUP(B70,B68:G74,5,0)</f>
        <v>42000</v>
      </c>
    </row>
    <row r="70" spans="1:9" x14ac:dyDescent="0.35">
      <c r="B70" s="30">
        <v>102</v>
      </c>
      <c r="C70" s="30" t="s">
        <v>114</v>
      </c>
      <c r="D70" s="30" t="s">
        <v>119</v>
      </c>
      <c r="E70" s="30" t="s">
        <v>122</v>
      </c>
      <c r="F70" s="30">
        <v>42000</v>
      </c>
      <c r="G70" s="30" t="s">
        <v>81</v>
      </c>
      <c r="H70" s="34" t="s">
        <v>128</v>
      </c>
      <c r="I70" s="36" t="e">
        <f>VLOOKUP(C73,B68:G74,{3,6},0)</f>
        <v>#N/A</v>
      </c>
    </row>
    <row r="71" spans="1:9" x14ac:dyDescent="0.35">
      <c r="B71" s="30">
        <v>103</v>
      </c>
      <c r="C71" s="30" t="s">
        <v>115</v>
      </c>
      <c r="D71" s="30" t="s">
        <v>120</v>
      </c>
      <c r="E71" s="30" t="s">
        <v>123</v>
      </c>
      <c r="F71" s="30">
        <v>48000</v>
      </c>
      <c r="G71" s="30" t="s">
        <v>80</v>
      </c>
      <c r="I71" s="35"/>
    </row>
    <row r="72" spans="1:9" x14ac:dyDescent="0.35">
      <c r="B72" s="30">
        <v>104</v>
      </c>
      <c r="C72" s="30" t="s">
        <v>116</v>
      </c>
      <c r="D72" s="30" t="s">
        <v>118</v>
      </c>
      <c r="E72" s="30" t="s">
        <v>124</v>
      </c>
      <c r="F72" s="30">
        <v>52000</v>
      </c>
      <c r="G72" s="30" t="s">
        <v>80</v>
      </c>
      <c r="H72" s="34" t="s">
        <v>133</v>
      </c>
      <c r="I72" s="33" t="str">
        <f>IFERROR(VLOOKUP(A68,B68:G74,5,0),"Not Available")</f>
        <v>Not Available</v>
      </c>
    </row>
    <row r="73" spans="1:9" x14ac:dyDescent="0.35">
      <c r="B73" s="30">
        <v>105</v>
      </c>
      <c r="C73" s="30" t="s">
        <v>12</v>
      </c>
      <c r="D73" s="30" t="s">
        <v>119</v>
      </c>
      <c r="E73" s="30" t="s">
        <v>121</v>
      </c>
      <c r="F73" s="30">
        <v>40000</v>
      </c>
      <c r="G73" s="30" t="s">
        <v>82</v>
      </c>
      <c r="I73" s="33"/>
    </row>
    <row r="74" spans="1:9" x14ac:dyDescent="0.35">
      <c r="B74" s="30">
        <v>106</v>
      </c>
      <c r="C74" s="30" t="s">
        <v>117</v>
      </c>
      <c r="D74" s="30" t="s">
        <v>120</v>
      </c>
      <c r="E74" s="30" t="s">
        <v>122</v>
      </c>
      <c r="F74" s="30">
        <v>46000</v>
      </c>
      <c r="G74" s="30" t="s">
        <v>81</v>
      </c>
      <c r="I74" s="3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Ojha</dc:creator>
  <cp:lastModifiedBy>Amrita Ojha</cp:lastModifiedBy>
  <dcterms:created xsi:type="dcterms:W3CDTF">2026-01-06T10:31:36Z</dcterms:created>
  <dcterms:modified xsi:type="dcterms:W3CDTF">2026-01-15T13:25:27Z</dcterms:modified>
</cp:coreProperties>
</file>